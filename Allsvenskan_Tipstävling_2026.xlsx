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G:\Privat\Hemsida\Verktyg\Tipstävling Allsvenskan 2026 - kopia\"/>
    </mc:Choice>
  </mc:AlternateContent>
  <xr:revisionPtr revIDLastSave="0" documentId="13_ncr:1_{B95BF5BD-ECEB-4FD7-8AFE-47DB55C5DB9A}" xr6:coauthVersionLast="47" xr6:coauthVersionMax="47" xr10:uidLastSave="{00000000-0000-0000-0000-000000000000}"/>
  <bookViews>
    <workbookView xWindow="-120" yWindow="-120" windowWidth="19440" windowHeight="10440" xr2:uid="{00000000-000D-0000-FFFF-FFFF00000000}"/>
  </bookViews>
  <sheets>
    <sheet name="Allsvenskan" sheetId="1" r:id="rId1"/>
  </sheets>
  <calcPr calcId="191029"/>
</workbook>
</file>

<file path=xl/calcChain.xml><?xml version="1.0" encoding="utf-8"?>
<calcChain xmlns="http://schemas.openxmlformats.org/spreadsheetml/2006/main">
  <c r="AP17" i="1" l="1"/>
  <c r="AO17" i="1"/>
  <c r="AN17" i="1"/>
  <c r="AM17" i="1"/>
  <c r="AL17" i="1"/>
  <c r="P17" i="1"/>
  <c r="O17" i="1"/>
  <c r="N17" i="1"/>
  <c r="M17" i="1"/>
  <c r="L17" i="1"/>
  <c r="AP16" i="1"/>
  <c r="AO16" i="1"/>
  <c r="AN16" i="1"/>
  <c r="AM16" i="1"/>
  <c r="AL16" i="1"/>
  <c r="P16" i="1"/>
  <c r="O16" i="1"/>
  <c r="N16" i="1"/>
  <c r="M16" i="1"/>
  <c r="L16" i="1"/>
  <c r="AP15" i="1"/>
  <c r="AO15" i="1"/>
  <c r="AN15" i="1"/>
  <c r="AM15" i="1"/>
  <c r="AL15" i="1"/>
  <c r="P15" i="1"/>
  <c r="O15" i="1"/>
  <c r="N15" i="1"/>
  <c r="M15" i="1"/>
  <c r="L15" i="1"/>
  <c r="AP14" i="1"/>
  <c r="AO14" i="1"/>
  <c r="AN14" i="1"/>
  <c r="AM14" i="1"/>
  <c r="AL14" i="1"/>
  <c r="P14" i="1"/>
  <c r="O14" i="1"/>
  <c r="N14" i="1"/>
  <c r="M14" i="1"/>
  <c r="L14" i="1"/>
  <c r="AP13" i="1"/>
  <c r="AO13" i="1"/>
  <c r="AN13" i="1"/>
  <c r="AM13" i="1"/>
  <c r="AL13" i="1"/>
  <c r="P13" i="1"/>
  <c r="O13" i="1"/>
  <c r="N13" i="1"/>
  <c r="M13" i="1"/>
  <c r="L13" i="1"/>
  <c r="AP12" i="1"/>
  <c r="AO12" i="1"/>
  <c r="AN12" i="1"/>
  <c r="AM12" i="1"/>
  <c r="AL12" i="1"/>
  <c r="P12" i="1"/>
  <c r="O12" i="1"/>
  <c r="N12" i="1"/>
  <c r="M12" i="1"/>
  <c r="L12" i="1"/>
  <c r="AP11" i="1"/>
  <c r="AO11" i="1"/>
  <c r="AN11" i="1"/>
  <c r="AM11" i="1"/>
  <c r="AL11" i="1"/>
  <c r="P11" i="1"/>
  <c r="O11" i="1"/>
  <c r="N11" i="1"/>
  <c r="M11" i="1"/>
  <c r="L11" i="1"/>
  <c r="AP10" i="1"/>
  <c r="AO10" i="1"/>
  <c r="AN10" i="1"/>
  <c r="AM10" i="1"/>
  <c r="AL10" i="1"/>
  <c r="P10" i="1"/>
  <c r="O10" i="1"/>
  <c r="N10" i="1"/>
  <c r="M10" i="1"/>
  <c r="L10" i="1"/>
  <c r="AP9" i="1"/>
  <c r="AO9" i="1"/>
  <c r="AN9" i="1"/>
  <c r="AM9" i="1"/>
  <c r="AL9" i="1"/>
  <c r="P9" i="1"/>
  <c r="O9" i="1"/>
  <c r="N9" i="1"/>
  <c r="M9" i="1"/>
  <c r="L9" i="1"/>
  <c r="AP8" i="1"/>
  <c r="AO8" i="1"/>
  <c r="AN8" i="1"/>
  <c r="AM8" i="1"/>
  <c r="AL8" i="1"/>
  <c r="P8" i="1"/>
  <c r="O8" i="1"/>
  <c r="N8" i="1"/>
  <c r="M8" i="1"/>
  <c r="L8" i="1"/>
  <c r="AP7" i="1"/>
  <c r="AO7" i="1"/>
  <c r="AN7" i="1"/>
  <c r="AM7" i="1"/>
  <c r="AL7" i="1"/>
  <c r="P7" i="1"/>
  <c r="O7" i="1"/>
  <c r="N7" i="1"/>
  <c r="M7" i="1"/>
  <c r="L7" i="1"/>
  <c r="AP6" i="1"/>
  <c r="AO6" i="1"/>
  <c r="AN6" i="1"/>
  <c r="AM6" i="1"/>
  <c r="AL6" i="1"/>
  <c r="P6" i="1"/>
  <c r="O6" i="1"/>
  <c r="N6" i="1"/>
  <c r="M6" i="1"/>
  <c r="L6" i="1"/>
  <c r="AP5" i="1"/>
  <c r="AO5" i="1"/>
  <c r="AN5" i="1"/>
  <c r="AM5" i="1"/>
  <c r="AL5" i="1"/>
  <c r="P5" i="1"/>
  <c r="O5" i="1"/>
  <c r="N5" i="1"/>
  <c r="M5" i="1"/>
  <c r="L5" i="1"/>
  <c r="AP4" i="1"/>
  <c r="AO4" i="1"/>
  <c r="AN4" i="1"/>
  <c r="AM4" i="1"/>
  <c r="AL4" i="1"/>
  <c r="P4" i="1"/>
  <c r="O4" i="1"/>
  <c r="N4" i="1"/>
  <c r="M4" i="1"/>
  <c r="L4" i="1"/>
  <c r="AP3" i="1"/>
  <c r="AO3" i="1"/>
  <c r="AN3" i="1"/>
  <c r="AM3" i="1"/>
  <c r="AL3" i="1"/>
  <c r="P3" i="1"/>
  <c r="O3" i="1"/>
  <c r="N3" i="1"/>
  <c r="M3" i="1"/>
  <c r="L3" i="1"/>
  <c r="AP2" i="1"/>
  <c r="AO2" i="1"/>
  <c r="AN2" i="1"/>
  <c r="AM2" i="1"/>
  <c r="M18" i="1" s="1"/>
  <c r="AL2" i="1"/>
  <c r="L18" i="1" s="1"/>
  <c r="P2" i="1"/>
  <c r="O2" i="1"/>
  <c r="N2" i="1"/>
  <c r="M2" i="1"/>
  <c r="L2" i="1"/>
  <c r="O18" i="1" l="1"/>
  <c r="P18" i="1"/>
  <c r="N18" i="1"/>
</calcChain>
</file>

<file path=xl/sharedStrings.xml><?xml version="1.0" encoding="utf-8"?>
<sst xmlns="http://schemas.openxmlformats.org/spreadsheetml/2006/main" count="116" uniqueCount="32">
  <si>
    <t>#</t>
  </si>
  <si>
    <t>Lag</t>
  </si>
  <si>
    <t>S</t>
  </si>
  <si>
    <t>V</t>
  </si>
  <si>
    <t>O</t>
  </si>
  <si>
    <t>F</t>
  </si>
  <si>
    <t>GM</t>
  </si>
  <si>
    <t>IM</t>
  </si>
  <si>
    <t>MS</t>
  </si>
  <si>
    <t>P</t>
  </si>
  <si>
    <t>Tim</t>
  </si>
  <si>
    <t>Tommy</t>
  </si>
  <si>
    <t>Peter</t>
  </si>
  <si>
    <t>Ronny</t>
  </si>
  <si>
    <t>Kenneth</t>
  </si>
  <si>
    <t>IK Sirius</t>
  </si>
  <si>
    <t>Mjällby AIF</t>
  </si>
  <si>
    <t>Hammarby</t>
  </si>
  <si>
    <t>Djurgårdens IF</t>
  </si>
  <si>
    <t>BK Häcken</t>
  </si>
  <si>
    <t>Malmö FF</t>
  </si>
  <si>
    <t>GAIS</t>
  </si>
  <si>
    <t>AIK</t>
  </si>
  <si>
    <t>IF Elfsborg</t>
  </si>
  <si>
    <t>IFK Göteborg</t>
  </si>
  <si>
    <t>Västerås SK</t>
  </si>
  <si>
    <t>IF Brommapojkarna</t>
  </si>
  <si>
    <t>Örgryte IS</t>
  </si>
  <si>
    <t>Kalmar FF</t>
  </si>
  <si>
    <t>Halmstads BK</t>
  </si>
  <si>
    <t>Degerfors IF</t>
  </si>
  <si>
    <t>Djurgårdens If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</si>
</sst>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  <fill>
      <patternFill patternType="solid">
        <fgColor rgb="FFCFE2F3"/>
        <bgColor rgb="FFCFE2F3"/>
      </patternFill>
    </fill>
    <fill>
      <patternFill patternType="solid">
        <fgColor rgb="FFD9D9D9"/>
        <bgColor rgb="FFD9D9D9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center"/>
    </xf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0" borderId="0" xfId="0" applyAlignment="1">
      <alignment horizontal="center"/>
    </xf>
    <xf numFmtId="0" fontId="0" fillId="4" borderId="0" xfId="0" applyFill="1" applyAlignment="1">
      <alignment horizontal="center"/>
    </xf>
    <xf numFmtId="0" fontId="0" fillId="5" borderId="0" xfId="0" applyFill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/>
    <xf numFmtId="1" fontId="0" fillId="0" borderId="0" xfId="0" applyNumberFormat="1" applyAlignment="1">
      <alignment horizontal="center"/>
    </xf>
    <xf numFmtId="0" fontId="0" fillId="0" borderId="3" xfId="0" applyBorder="1" applyAlignment="1">
      <alignment horizontal="center"/>
    </xf>
    <xf numFmtId="1" fontId="0" fillId="0" borderId="3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8"/>
  <sheetViews>
    <sheetView tabSelected="1" workbookViewId="0">
      <selection activeCell="T24" sqref="T24"/>
    </sheetView>
  </sheetViews>
  <sheetFormatPr defaultRowHeight="15" x14ac:dyDescent="0.25"/>
  <cols>
    <col min="1" max="1" width="4" customWidth="1"/>
    <col min="2" max="2" width="18.42578125" bestFit="1" customWidth="1"/>
    <col min="3" max="10" width="4" customWidth="1"/>
    <col min="11" max="11" width="3.7109375" customWidth="1"/>
    <col min="12" max="16" width="8.5703125" customWidth="1"/>
    <col min="17" max="17" width="3.7109375" customWidth="1"/>
    <col min="18" max="20" width="18.42578125" bestFit="1" customWidth="1"/>
    <col min="21" max="22" width="18.42578125" style="4" bestFit="1" customWidth="1"/>
    <col min="23" max="23" width="14.28515625" customWidth="1"/>
  </cols>
  <sheetData>
    <row r="1" spans="1:4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L1" s="7" t="s">
        <v>10</v>
      </c>
      <c r="M1" s="7" t="s">
        <v>11</v>
      </c>
      <c r="N1" s="7" t="s">
        <v>12</v>
      </c>
      <c r="O1" s="7" t="s">
        <v>13</v>
      </c>
      <c r="P1" s="7" t="s">
        <v>14</v>
      </c>
      <c r="Q1" s="8"/>
      <c r="R1" s="7" t="s">
        <v>10</v>
      </c>
      <c r="S1" s="7" t="s">
        <v>11</v>
      </c>
      <c r="T1" s="7" t="s">
        <v>12</v>
      </c>
      <c r="U1" s="7" t="s">
        <v>13</v>
      </c>
      <c r="V1" s="7" t="s">
        <v>14</v>
      </c>
    </row>
    <row r="2" spans="1:42" x14ac:dyDescent="0.25">
      <c r="A2" s="2">
        <v>1</v>
      </c>
      <c r="B2" s="2" t="s">
        <v>15</v>
      </c>
      <c r="C2" s="2">
        <v>20</v>
      </c>
      <c r="D2" s="2">
        <v>14</v>
      </c>
      <c r="E2" s="2">
        <v>3</v>
      </c>
      <c r="F2" s="2">
        <v>3</v>
      </c>
      <c r="G2" s="2">
        <v>48</v>
      </c>
      <c r="H2" s="2">
        <v>27</v>
      </c>
      <c r="I2" s="2">
        <v>21</v>
      </c>
      <c r="J2" s="2">
        <v>45</v>
      </c>
      <c r="L2" s="10">
        <f t="shared" ref="L2:L17" si="0">(ROW(B2)-1) - MATCH(B2,$R$2:$R$17,0)</f>
        <v>-5</v>
      </c>
      <c r="M2" s="10">
        <f t="shared" ref="M2:M17" si="1">(ROW(B2)-1) - MATCH(B2,$S$2:$S$17,0)</f>
        <v>-5</v>
      </c>
      <c r="N2" s="10">
        <f t="shared" ref="N2:N17" si="2">(ROW(B2)-1) - MATCH(B2,$T$2:$T$17,0)</f>
        <v>-8</v>
      </c>
      <c r="O2" s="10">
        <f t="shared" ref="O2:O17" si="3">(ROW(B2)-1) - MATCH(B2,$U$2:$U$17,0)</f>
        <v>-3</v>
      </c>
      <c r="P2" s="10">
        <f t="shared" ref="P2:P17" si="4">(ROW(B2)-1) - MATCH(B2,$V$2:$V$17,0)</f>
        <v>-8</v>
      </c>
      <c r="Q2" s="4"/>
      <c r="R2" s="4" t="s">
        <v>16</v>
      </c>
      <c r="S2" s="4" t="s">
        <v>16</v>
      </c>
      <c r="T2" s="4" t="s">
        <v>17</v>
      </c>
      <c r="U2" s="4" t="s">
        <v>17</v>
      </c>
      <c r="V2" s="4" t="s">
        <v>17</v>
      </c>
      <c r="AL2" s="9">
        <f t="shared" ref="AL2:AL17" si="5">ABS((ROW(R2)-1) - MATCH(R2,$B$2:$B$17,0))</f>
        <v>11</v>
      </c>
      <c r="AM2" s="9">
        <f t="shared" ref="AM2:AM17" si="6">ABS((ROW(S2)-1) - MATCH(S2,$B$2:$B$17,0))</f>
        <v>11</v>
      </c>
      <c r="AN2" s="9">
        <f t="shared" ref="AN2:AN17" si="7">ABS((ROW(T2)-1) - MATCH(T2,$B$2:$B$17,0))</f>
        <v>2</v>
      </c>
      <c r="AO2" s="9">
        <f t="shared" ref="AO2:AO17" si="8">ABS((ROW(U2)-1) - MATCH(U2,$B$2:$B$17,0))</f>
        <v>2</v>
      </c>
      <c r="AP2" s="9">
        <f t="shared" ref="AP2:AP17" si="9">ABS((ROW(V2)-1) - MATCH(V2,$B$2:$B$17,0))</f>
        <v>2</v>
      </c>
    </row>
    <row r="3" spans="1:42" x14ac:dyDescent="0.25">
      <c r="A3" s="3">
        <v>2</v>
      </c>
      <c r="B3" s="3" t="s">
        <v>18</v>
      </c>
      <c r="C3" s="3">
        <v>20</v>
      </c>
      <c r="D3" s="3">
        <v>12</v>
      </c>
      <c r="E3" s="3">
        <v>2</v>
      </c>
      <c r="F3" s="3">
        <v>6</v>
      </c>
      <c r="G3" s="3">
        <v>44</v>
      </c>
      <c r="H3" s="3">
        <v>19</v>
      </c>
      <c r="I3" s="3">
        <v>25</v>
      </c>
      <c r="J3" s="3">
        <v>38</v>
      </c>
      <c r="L3" s="10">
        <f t="shared" si="0"/>
        <v>-5</v>
      </c>
      <c r="M3" s="10">
        <f t="shared" si="1"/>
        <v>-5</v>
      </c>
      <c r="N3" s="10">
        <f t="shared" si="2"/>
        <v>-2</v>
      </c>
      <c r="O3" s="10">
        <f t="shared" si="3"/>
        <v>-4</v>
      </c>
      <c r="P3" s="10">
        <f t="shared" si="4"/>
        <v>-2</v>
      </c>
      <c r="Q3" s="4"/>
      <c r="R3" s="4" t="s">
        <v>17</v>
      </c>
      <c r="S3" s="4" t="s">
        <v>17</v>
      </c>
      <c r="T3" s="4" t="s">
        <v>19</v>
      </c>
      <c r="U3" s="4" t="s">
        <v>16</v>
      </c>
      <c r="V3" s="4" t="s">
        <v>20</v>
      </c>
      <c r="AL3" s="9">
        <f t="shared" si="5"/>
        <v>1</v>
      </c>
      <c r="AM3" s="9">
        <f t="shared" si="6"/>
        <v>1</v>
      </c>
      <c r="AN3" s="9">
        <f t="shared" si="7"/>
        <v>2</v>
      </c>
      <c r="AO3" s="9">
        <f t="shared" si="8"/>
        <v>10</v>
      </c>
      <c r="AP3" s="9">
        <f t="shared" si="9"/>
        <v>5</v>
      </c>
    </row>
    <row r="4" spans="1:42" x14ac:dyDescent="0.25">
      <c r="A4" s="3">
        <v>3</v>
      </c>
      <c r="B4" s="3" t="s">
        <v>17</v>
      </c>
      <c r="C4" s="3">
        <v>20</v>
      </c>
      <c r="D4" s="3">
        <v>11</v>
      </c>
      <c r="E4" s="3">
        <v>4</v>
      </c>
      <c r="F4" s="3">
        <v>5</v>
      </c>
      <c r="G4" s="3">
        <v>45</v>
      </c>
      <c r="H4" s="3">
        <v>19</v>
      </c>
      <c r="I4" s="3">
        <v>26</v>
      </c>
      <c r="J4" s="3">
        <v>37</v>
      </c>
      <c r="L4" s="10">
        <f t="shared" si="0"/>
        <v>1</v>
      </c>
      <c r="M4" s="10">
        <f t="shared" si="1"/>
        <v>1</v>
      </c>
      <c r="N4" s="10">
        <f t="shared" si="2"/>
        <v>2</v>
      </c>
      <c r="O4" s="10">
        <f t="shared" si="3"/>
        <v>2</v>
      </c>
      <c r="P4" s="10">
        <f t="shared" si="4"/>
        <v>2</v>
      </c>
      <c r="Q4" s="4"/>
      <c r="R4" s="4" t="s">
        <v>20</v>
      </c>
      <c r="S4" s="4" t="s">
        <v>21</v>
      </c>
      <c r="T4" s="4" t="s">
        <v>20</v>
      </c>
      <c r="U4" s="4" t="s">
        <v>21</v>
      </c>
      <c r="V4" s="4" t="s">
        <v>16</v>
      </c>
      <c r="AL4" s="9">
        <f t="shared" si="5"/>
        <v>4</v>
      </c>
      <c r="AM4" s="9">
        <f t="shared" si="6"/>
        <v>6</v>
      </c>
      <c r="AN4" s="9">
        <f t="shared" si="7"/>
        <v>4</v>
      </c>
      <c r="AO4" s="9">
        <f t="shared" si="8"/>
        <v>6</v>
      </c>
      <c r="AP4" s="9">
        <f t="shared" si="9"/>
        <v>9</v>
      </c>
    </row>
    <row r="5" spans="1:42" x14ac:dyDescent="0.25">
      <c r="A5" s="4">
        <v>4</v>
      </c>
      <c r="B5" s="4" t="s">
        <v>19</v>
      </c>
      <c r="C5" s="4">
        <v>20</v>
      </c>
      <c r="D5" s="4">
        <v>8</v>
      </c>
      <c r="E5" s="4">
        <v>8</v>
      </c>
      <c r="F5" s="4">
        <v>4</v>
      </c>
      <c r="G5" s="4">
        <v>33</v>
      </c>
      <c r="H5" s="4">
        <v>29</v>
      </c>
      <c r="I5" s="4">
        <v>4</v>
      </c>
      <c r="J5" s="4">
        <v>32</v>
      </c>
      <c r="L5" s="10">
        <f t="shared" si="0"/>
        <v>-5</v>
      </c>
      <c r="M5" s="10">
        <f t="shared" si="1"/>
        <v>-4</v>
      </c>
      <c r="N5" s="10">
        <f t="shared" si="2"/>
        <v>2</v>
      </c>
      <c r="O5" s="10">
        <f t="shared" si="3"/>
        <v>-4</v>
      </c>
      <c r="P5" s="10">
        <f t="shared" si="4"/>
        <v>-1</v>
      </c>
      <c r="Q5" s="4"/>
      <c r="R5" s="4" t="s">
        <v>21</v>
      </c>
      <c r="S5" s="4" t="s">
        <v>20</v>
      </c>
      <c r="T5" s="4" t="s">
        <v>31</v>
      </c>
      <c r="U5" s="4" t="s">
        <v>15</v>
      </c>
      <c r="V5" s="4" t="s">
        <v>31</v>
      </c>
      <c r="AL5" s="9">
        <f t="shared" si="5"/>
        <v>5</v>
      </c>
      <c r="AM5" s="9">
        <f t="shared" si="6"/>
        <v>3</v>
      </c>
      <c r="AN5" s="9">
        <f t="shared" si="7"/>
        <v>2</v>
      </c>
      <c r="AO5" s="9">
        <f t="shared" si="8"/>
        <v>3</v>
      </c>
      <c r="AP5" s="9">
        <f t="shared" si="9"/>
        <v>2</v>
      </c>
    </row>
    <row r="6" spans="1:42" x14ac:dyDescent="0.25">
      <c r="A6" s="4">
        <v>5</v>
      </c>
      <c r="B6" s="4" t="s">
        <v>22</v>
      </c>
      <c r="C6" s="4">
        <v>19</v>
      </c>
      <c r="D6" s="4">
        <v>9</v>
      </c>
      <c r="E6" s="4">
        <v>5</v>
      </c>
      <c r="F6" s="4">
        <v>5</v>
      </c>
      <c r="G6" s="4">
        <v>28</v>
      </c>
      <c r="H6" s="4">
        <v>27</v>
      </c>
      <c r="I6" s="4">
        <v>1</v>
      </c>
      <c r="J6" s="4">
        <v>32</v>
      </c>
      <c r="L6" s="10">
        <f t="shared" si="0"/>
        <v>0</v>
      </c>
      <c r="M6" s="10">
        <f t="shared" si="1"/>
        <v>0</v>
      </c>
      <c r="N6" s="10">
        <f t="shared" si="2"/>
        <v>-2</v>
      </c>
      <c r="O6" s="10">
        <f t="shared" si="3"/>
        <v>-6</v>
      </c>
      <c r="P6" s="10">
        <f t="shared" si="4"/>
        <v>-3</v>
      </c>
      <c r="Q6" s="4"/>
      <c r="R6" s="4" t="s">
        <v>22</v>
      </c>
      <c r="S6" s="4" t="s">
        <v>22</v>
      </c>
      <c r="T6" s="4" t="s">
        <v>21</v>
      </c>
      <c r="U6" s="4" t="s">
        <v>20</v>
      </c>
      <c r="V6" s="4" t="s">
        <v>19</v>
      </c>
      <c r="AL6" s="9">
        <f t="shared" si="5"/>
        <v>0</v>
      </c>
      <c r="AM6" s="9">
        <f t="shared" si="6"/>
        <v>0</v>
      </c>
      <c r="AN6" s="9">
        <f t="shared" si="7"/>
        <v>4</v>
      </c>
      <c r="AO6" s="9">
        <f t="shared" si="8"/>
        <v>2</v>
      </c>
      <c r="AP6" s="9">
        <f t="shared" si="9"/>
        <v>1</v>
      </c>
    </row>
    <row r="7" spans="1:42" x14ac:dyDescent="0.25">
      <c r="A7" s="4">
        <v>6</v>
      </c>
      <c r="B7" s="4" t="s">
        <v>23</v>
      </c>
      <c r="C7" s="4">
        <v>20</v>
      </c>
      <c r="D7" s="4">
        <v>8</v>
      </c>
      <c r="E7" s="4">
        <v>7</v>
      </c>
      <c r="F7" s="4">
        <v>5</v>
      </c>
      <c r="G7" s="4">
        <v>28</v>
      </c>
      <c r="H7" s="4">
        <v>21</v>
      </c>
      <c r="I7" s="4">
        <v>7</v>
      </c>
      <c r="J7" s="4">
        <v>31</v>
      </c>
      <c r="L7" s="10">
        <f t="shared" si="0"/>
        <v>-4</v>
      </c>
      <c r="M7" s="10">
        <f t="shared" si="1"/>
        <v>-4</v>
      </c>
      <c r="N7" s="10">
        <f t="shared" si="2"/>
        <v>-4</v>
      </c>
      <c r="O7" s="10">
        <f t="shared" si="3"/>
        <v>-4</v>
      </c>
      <c r="P7" s="10">
        <f t="shared" si="4"/>
        <v>-4</v>
      </c>
      <c r="Q7" s="4"/>
      <c r="R7" s="4" t="s">
        <v>15</v>
      </c>
      <c r="S7" s="4" t="s">
        <v>15</v>
      </c>
      <c r="T7" s="4" t="s">
        <v>16</v>
      </c>
      <c r="U7" s="4" t="s">
        <v>18</v>
      </c>
      <c r="V7" s="4" t="s">
        <v>21</v>
      </c>
      <c r="AL7" s="9">
        <f t="shared" si="5"/>
        <v>5</v>
      </c>
      <c r="AM7" s="9">
        <f t="shared" si="6"/>
        <v>5</v>
      </c>
      <c r="AN7" s="9">
        <f t="shared" si="7"/>
        <v>6</v>
      </c>
      <c r="AO7" s="9">
        <f t="shared" si="8"/>
        <v>4</v>
      </c>
      <c r="AP7" s="9">
        <f t="shared" si="9"/>
        <v>3</v>
      </c>
    </row>
    <row r="8" spans="1:42" x14ac:dyDescent="0.25">
      <c r="A8" s="4">
        <v>7</v>
      </c>
      <c r="B8" s="4" t="s">
        <v>20</v>
      </c>
      <c r="C8" s="4">
        <v>20</v>
      </c>
      <c r="D8" s="4">
        <v>9</v>
      </c>
      <c r="E8" s="4">
        <v>3</v>
      </c>
      <c r="F8" s="4">
        <v>8</v>
      </c>
      <c r="G8" s="4">
        <v>33</v>
      </c>
      <c r="H8" s="4">
        <v>30</v>
      </c>
      <c r="I8" s="4">
        <v>3</v>
      </c>
      <c r="J8" s="4">
        <v>30</v>
      </c>
      <c r="L8" s="10">
        <f t="shared" si="0"/>
        <v>4</v>
      </c>
      <c r="M8" s="10">
        <f t="shared" si="1"/>
        <v>3</v>
      </c>
      <c r="N8" s="10">
        <f t="shared" si="2"/>
        <v>4</v>
      </c>
      <c r="O8" s="10">
        <f t="shared" si="3"/>
        <v>2</v>
      </c>
      <c r="P8" s="10">
        <f t="shared" si="4"/>
        <v>5</v>
      </c>
      <c r="Q8" s="4"/>
      <c r="R8" s="4" t="s">
        <v>18</v>
      </c>
      <c r="S8" s="4" t="s">
        <v>18</v>
      </c>
      <c r="T8" s="4" t="s">
        <v>22</v>
      </c>
      <c r="U8" s="4" t="s">
        <v>24</v>
      </c>
      <c r="V8" s="4" t="s">
        <v>24</v>
      </c>
      <c r="AL8" s="9">
        <f t="shared" si="5"/>
        <v>5</v>
      </c>
      <c r="AM8" s="9">
        <f t="shared" si="6"/>
        <v>5</v>
      </c>
      <c r="AN8" s="9">
        <f t="shared" si="7"/>
        <v>2</v>
      </c>
      <c r="AO8" s="9">
        <f t="shared" si="8"/>
        <v>4</v>
      </c>
      <c r="AP8" s="9">
        <f t="shared" si="9"/>
        <v>4</v>
      </c>
    </row>
    <row r="9" spans="1:42" x14ac:dyDescent="0.25">
      <c r="A9" s="4">
        <v>8</v>
      </c>
      <c r="B9" s="4" t="s">
        <v>25</v>
      </c>
      <c r="C9" s="4">
        <v>20</v>
      </c>
      <c r="D9" s="4">
        <v>8</v>
      </c>
      <c r="E9" s="4">
        <v>5</v>
      </c>
      <c r="F9" s="4">
        <v>7</v>
      </c>
      <c r="G9" s="4">
        <v>28</v>
      </c>
      <c r="H9" s="4">
        <v>34</v>
      </c>
      <c r="I9" s="4">
        <v>-6</v>
      </c>
      <c r="J9" s="4">
        <v>29</v>
      </c>
      <c r="L9" s="10">
        <f t="shared" si="0"/>
        <v>-4</v>
      </c>
      <c r="M9" s="10">
        <f t="shared" si="1"/>
        <v>-6</v>
      </c>
      <c r="N9" s="10">
        <f t="shared" si="2"/>
        <v>-8</v>
      </c>
      <c r="O9" s="10">
        <f t="shared" si="3"/>
        <v>-8</v>
      </c>
      <c r="P9" s="10">
        <f t="shared" si="4"/>
        <v>-7</v>
      </c>
      <c r="Q9" s="4"/>
      <c r="R9" s="4" t="s">
        <v>24</v>
      </c>
      <c r="S9" s="4" t="s">
        <v>19</v>
      </c>
      <c r="T9" s="4" t="s">
        <v>24</v>
      </c>
      <c r="U9" s="4" t="s">
        <v>19</v>
      </c>
      <c r="V9" s="4" t="s">
        <v>22</v>
      </c>
      <c r="AL9" s="9">
        <f t="shared" si="5"/>
        <v>3</v>
      </c>
      <c r="AM9" s="9">
        <f t="shared" si="6"/>
        <v>4</v>
      </c>
      <c r="AN9" s="9">
        <f t="shared" si="7"/>
        <v>3</v>
      </c>
      <c r="AO9" s="9">
        <f t="shared" si="8"/>
        <v>4</v>
      </c>
      <c r="AP9" s="9">
        <f t="shared" si="9"/>
        <v>3</v>
      </c>
    </row>
    <row r="10" spans="1:42" x14ac:dyDescent="0.25">
      <c r="A10" s="4">
        <v>9</v>
      </c>
      <c r="B10" s="4" t="s">
        <v>21</v>
      </c>
      <c r="C10" s="4">
        <v>20</v>
      </c>
      <c r="D10" s="4">
        <v>7</v>
      </c>
      <c r="E10" s="4">
        <v>6</v>
      </c>
      <c r="F10" s="4">
        <v>7</v>
      </c>
      <c r="G10" s="4">
        <v>25</v>
      </c>
      <c r="H10" s="4">
        <v>18</v>
      </c>
      <c r="I10" s="4">
        <v>7</v>
      </c>
      <c r="J10" s="4">
        <v>27</v>
      </c>
      <c r="L10" s="10">
        <f t="shared" si="0"/>
        <v>5</v>
      </c>
      <c r="M10" s="10">
        <f t="shared" si="1"/>
        <v>6</v>
      </c>
      <c r="N10" s="10">
        <f t="shared" si="2"/>
        <v>4</v>
      </c>
      <c r="O10" s="10">
        <f t="shared" si="3"/>
        <v>6</v>
      </c>
      <c r="P10" s="10">
        <f t="shared" si="4"/>
        <v>3</v>
      </c>
      <c r="Q10" s="4"/>
      <c r="R10" s="4" t="s">
        <v>19</v>
      </c>
      <c r="S10" s="4" t="s">
        <v>24</v>
      </c>
      <c r="T10" s="4" t="s">
        <v>15</v>
      </c>
      <c r="U10" s="4" t="s">
        <v>26</v>
      </c>
      <c r="V10" s="4" t="s">
        <v>15</v>
      </c>
      <c r="AL10" s="9">
        <f t="shared" si="5"/>
        <v>5</v>
      </c>
      <c r="AM10" s="9">
        <f t="shared" si="6"/>
        <v>2</v>
      </c>
      <c r="AN10" s="9">
        <f t="shared" si="7"/>
        <v>8</v>
      </c>
      <c r="AO10" s="9">
        <f t="shared" si="8"/>
        <v>1</v>
      </c>
      <c r="AP10" s="9">
        <f t="shared" si="9"/>
        <v>8</v>
      </c>
    </row>
    <row r="11" spans="1:42" x14ac:dyDescent="0.25">
      <c r="A11" s="4">
        <v>10</v>
      </c>
      <c r="B11" s="4" t="s">
        <v>26</v>
      </c>
      <c r="C11" s="4">
        <v>20</v>
      </c>
      <c r="D11" s="4">
        <v>7</v>
      </c>
      <c r="E11" s="4">
        <v>6</v>
      </c>
      <c r="F11" s="4">
        <v>7</v>
      </c>
      <c r="G11" s="4">
        <v>29</v>
      </c>
      <c r="H11" s="4">
        <v>32</v>
      </c>
      <c r="I11" s="4">
        <v>-3</v>
      </c>
      <c r="J11" s="4">
        <v>27</v>
      </c>
      <c r="L11" s="10">
        <f t="shared" si="0"/>
        <v>-1</v>
      </c>
      <c r="M11" s="10">
        <f t="shared" si="1"/>
        <v>-1</v>
      </c>
      <c r="N11" s="10">
        <f t="shared" si="2"/>
        <v>-2</v>
      </c>
      <c r="O11" s="10">
        <f t="shared" si="3"/>
        <v>1</v>
      </c>
      <c r="P11" s="10">
        <f t="shared" si="4"/>
        <v>-2</v>
      </c>
      <c r="Q11" s="4"/>
      <c r="R11" s="4" t="s">
        <v>23</v>
      </c>
      <c r="S11" s="4" t="s">
        <v>23</v>
      </c>
      <c r="T11" s="4" t="s">
        <v>23</v>
      </c>
      <c r="U11" s="4" t="s">
        <v>23</v>
      </c>
      <c r="V11" s="4" t="s">
        <v>23</v>
      </c>
      <c r="AL11" s="9">
        <f t="shared" si="5"/>
        <v>4</v>
      </c>
      <c r="AM11" s="9">
        <f t="shared" si="6"/>
        <v>4</v>
      </c>
      <c r="AN11" s="9">
        <f t="shared" si="7"/>
        <v>4</v>
      </c>
      <c r="AO11" s="9">
        <f t="shared" si="8"/>
        <v>4</v>
      </c>
      <c r="AP11" s="9">
        <f t="shared" si="9"/>
        <v>4</v>
      </c>
    </row>
    <row r="12" spans="1:42" x14ac:dyDescent="0.25">
      <c r="A12" s="4">
        <v>11</v>
      </c>
      <c r="B12" s="4" t="s">
        <v>24</v>
      </c>
      <c r="C12" s="4">
        <v>20</v>
      </c>
      <c r="D12" s="4">
        <v>7</v>
      </c>
      <c r="E12" s="4">
        <v>5</v>
      </c>
      <c r="F12" s="4">
        <v>8</v>
      </c>
      <c r="G12" s="4">
        <v>28</v>
      </c>
      <c r="H12" s="4">
        <v>40</v>
      </c>
      <c r="I12" s="4">
        <v>-12</v>
      </c>
      <c r="J12" s="4">
        <v>26</v>
      </c>
      <c r="L12" s="10">
        <f t="shared" si="0"/>
        <v>3</v>
      </c>
      <c r="M12" s="10">
        <f t="shared" si="1"/>
        <v>2</v>
      </c>
      <c r="N12" s="10">
        <f t="shared" si="2"/>
        <v>3</v>
      </c>
      <c r="O12" s="10">
        <f t="shared" si="3"/>
        <v>4</v>
      </c>
      <c r="P12" s="10">
        <f t="shared" si="4"/>
        <v>4</v>
      </c>
      <c r="Q12" s="4"/>
      <c r="R12" s="4" t="s">
        <v>26</v>
      </c>
      <c r="S12" s="4" t="s">
        <v>26</v>
      </c>
      <c r="T12" s="4" t="s">
        <v>27</v>
      </c>
      <c r="U12" s="4" t="s">
        <v>22</v>
      </c>
      <c r="V12" s="4" t="s">
        <v>28</v>
      </c>
      <c r="AL12" s="9">
        <f t="shared" si="5"/>
        <v>1</v>
      </c>
      <c r="AM12" s="9">
        <f t="shared" si="6"/>
        <v>1</v>
      </c>
      <c r="AN12" s="9">
        <f t="shared" si="7"/>
        <v>4</v>
      </c>
      <c r="AO12" s="9">
        <f t="shared" si="8"/>
        <v>6</v>
      </c>
      <c r="AP12" s="9">
        <f t="shared" si="9"/>
        <v>2</v>
      </c>
    </row>
    <row r="13" spans="1:42" x14ac:dyDescent="0.25">
      <c r="A13" s="4">
        <v>12</v>
      </c>
      <c r="B13" s="4" t="s">
        <v>16</v>
      </c>
      <c r="C13" s="4">
        <v>19</v>
      </c>
      <c r="D13" s="4">
        <v>5</v>
      </c>
      <c r="E13" s="4">
        <v>5</v>
      </c>
      <c r="F13" s="4">
        <v>9</v>
      </c>
      <c r="G13" s="4">
        <v>25</v>
      </c>
      <c r="H13" s="4">
        <v>33</v>
      </c>
      <c r="I13" s="4">
        <v>-8</v>
      </c>
      <c r="J13" s="4">
        <v>20</v>
      </c>
      <c r="L13" s="10">
        <f t="shared" si="0"/>
        <v>11</v>
      </c>
      <c r="M13" s="10">
        <f t="shared" si="1"/>
        <v>11</v>
      </c>
      <c r="N13" s="10">
        <f t="shared" si="2"/>
        <v>6</v>
      </c>
      <c r="O13" s="10">
        <f t="shared" si="3"/>
        <v>10</v>
      </c>
      <c r="P13" s="10">
        <f t="shared" si="4"/>
        <v>9</v>
      </c>
      <c r="Q13" s="4"/>
      <c r="R13" s="4" t="s">
        <v>25</v>
      </c>
      <c r="S13" s="4" t="s">
        <v>28</v>
      </c>
      <c r="T13" s="4" t="s">
        <v>26</v>
      </c>
      <c r="U13" s="4" t="s">
        <v>29</v>
      </c>
      <c r="V13" s="4" t="s">
        <v>26</v>
      </c>
      <c r="AL13" s="9">
        <f t="shared" si="5"/>
        <v>4</v>
      </c>
      <c r="AM13" s="9">
        <f t="shared" si="6"/>
        <v>1</v>
      </c>
      <c r="AN13" s="9">
        <f t="shared" si="7"/>
        <v>2</v>
      </c>
      <c r="AO13" s="9">
        <f t="shared" si="8"/>
        <v>4</v>
      </c>
      <c r="AP13" s="9">
        <f t="shared" si="9"/>
        <v>2</v>
      </c>
    </row>
    <row r="14" spans="1:42" x14ac:dyDescent="0.25">
      <c r="A14" s="4">
        <v>13</v>
      </c>
      <c r="B14" s="4" t="s">
        <v>28</v>
      </c>
      <c r="C14" s="4">
        <v>20</v>
      </c>
      <c r="D14" s="4">
        <v>5</v>
      </c>
      <c r="E14" s="4">
        <v>4</v>
      </c>
      <c r="F14" s="4">
        <v>11</v>
      </c>
      <c r="G14" s="4">
        <v>21</v>
      </c>
      <c r="H14" s="4">
        <v>30</v>
      </c>
      <c r="I14" s="4">
        <v>-9</v>
      </c>
      <c r="J14" s="4">
        <v>19</v>
      </c>
      <c r="L14" s="10">
        <f t="shared" si="0"/>
        <v>0</v>
      </c>
      <c r="M14" s="10">
        <f t="shared" si="1"/>
        <v>1</v>
      </c>
      <c r="N14" s="10">
        <f t="shared" si="2"/>
        <v>0</v>
      </c>
      <c r="O14" s="10">
        <f t="shared" si="3"/>
        <v>-2</v>
      </c>
      <c r="P14" s="10">
        <f t="shared" si="4"/>
        <v>2</v>
      </c>
      <c r="Q14" s="4"/>
      <c r="R14" s="4" t="s">
        <v>28</v>
      </c>
      <c r="S14" s="4" t="s">
        <v>30</v>
      </c>
      <c r="T14" s="4" t="s">
        <v>28</v>
      </c>
      <c r="U14" s="4" t="s">
        <v>27</v>
      </c>
      <c r="V14" s="4" t="s">
        <v>27</v>
      </c>
      <c r="AL14" s="9">
        <f t="shared" si="5"/>
        <v>0</v>
      </c>
      <c r="AM14" s="9">
        <f t="shared" si="6"/>
        <v>1</v>
      </c>
      <c r="AN14" s="9">
        <f t="shared" si="7"/>
        <v>0</v>
      </c>
      <c r="AO14" s="9">
        <f t="shared" si="8"/>
        <v>2</v>
      </c>
      <c r="AP14" s="9">
        <f t="shared" si="9"/>
        <v>2</v>
      </c>
    </row>
    <row r="15" spans="1:42" x14ac:dyDescent="0.25">
      <c r="A15" s="5">
        <v>14</v>
      </c>
      <c r="B15" s="5" t="s">
        <v>30</v>
      </c>
      <c r="C15" s="5">
        <v>20</v>
      </c>
      <c r="D15" s="5">
        <v>5</v>
      </c>
      <c r="E15" s="5">
        <v>4</v>
      </c>
      <c r="F15" s="5">
        <v>11</v>
      </c>
      <c r="G15" s="5">
        <v>19</v>
      </c>
      <c r="H15" s="5">
        <v>31</v>
      </c>
      <c r="I15" s="5">
        <v>-12</v>
      </c>
      <c r="J15" s="5">
        <v>19</v>
      </c>
      <c r="L15" s="10">
        <f t="shared" si="0"/>
        <v>-2</v>
      </c>
      <c r="M15" s="10">
        <f t="shared" si="1"/>
        <v>1</v>
      </c>
      <c r="N15" s="10">
        <f t="shared" si="2"/>
        <v>-1</v>
      </c>
      <c r="O15" s="10">
        <f t="shared" si="3"/>
        <v>0</v>
      </c>
      <c r="P15" s="10">
        <f t="shared" si="4"/>
        <v>0</v>
      </c>
      <c r="Q15" s="4"/>
      <c r="R15" s="4" t="s">
        <v>29</v>
      </c>
      <c r="S15" s="4" t="s">
        <v>25</v>
      </c>
      <c r="T15" s="4" t="s">
        <v>29</v>
      </c>
      <c r="U15" s="4" t="s">
        <v>30</v>
      </c>
      <c r="V15" s="4" t="s">
        <v>30</v>
      </c>
      <c r="AL15" s="9">
        <f t="shared" si="5"/>
        <v>2</v>
      </c>
      <c r="AM15" s="9">
        <f t="shared" si="6"/>
        <v>6</v>
      </c>
      <c r="AN15" s="9">
        <f t="shared" si="7"/>
        <v>2</v>
      </c>
      <c r="AO15" s="9">
        <f t="shared" si="8"/>
        <v>0</v>
      </c>
      <c r="AP15" s="9">
        <f t="shared" si="9"/>
        <v>0</v>
      </c>
    </row>
    <row r="16" spans="1:42" x14ac:dyDescent="0.25">
      <c r="A16" s="6">
        <v>15</v>
      </c>
      <c r="B16" s="6" t="s">
        <v>27</v>
      </c>
      <c r="C16" s="6">
        <v>20</v>
      </c>
      <c r="D16" s="6">
        <v>3</v>
      </c>
      <c r="E16" s="6">
        <v>6</v>
      </c>
      <c r="F16" s="6">
        <v>11</v>
      </c>
      <c r="G16" s="6">
        <v>23</v>
      </c>
      <c r="H16" s="6">
        <v>43</v>
      </c>
      <c r="I16" s="6">
        <v>-20</v>
      </c>
      <c r="J16" s="6">
        <v>15</v>
      </c>
      <c r="L16" s="10">
        <f t="shared" si="0"/>
        <v>0</v>
      </c>
      <c r="M16" s="10">
        <f t="shared" si="1"/>
        <v>-1</v>
      </c>
      <c r="N16" s="10">
        <f t="shared" si="2"/>
        <v>4</v>
      </c>
      <c r="O16" s="10">
        <f t="shared" si="3"/>
        <v>2</v>
      </c>
      <c r="P16" s="10">
        <f t="shared" si="4"/>
        <v>2</v>
      </c>
      <c r="Q16" s="4"/>
      <c r="R16" s="4" t="s">
        <v>27</v>
      </c>
      <c r="S16" s="4" t="s">
        <v>29</v>
      </c>
      <c r="T16" s="4" t="s">
        <v>30</v>
      </c>
      <c r="U16" s="4" t="s">
        <v>28</v>
      </c>
      <c r="V16" s="4" t="s">
        <v>25</v>
      </c>
      <c r="AL16" s="9">
        <f t="shared" si="5"/>
        <v>0</v>
      </c>
      <c r="AM16" s="9">
        <f t="shared" si="6"/>
        <v>1</v>
      </c>
      <c r="AN16" s="9">
        <f t="shared" si="7"/>
        <v>1</v>
      </c>
      <c r="AO16" s="9">
        <f t="shared" si="8"/>
        <v>2</v>
      </c>
      <c r="AP16" s="9">
        <f t="shared" si="9"/>
        <v>7</v>
      </c>
    </row>
    <row r="17" spans="1:42" x14ac:dyDescent="0.25">
      <c r="A17" s="6">
        <v>16</v>
      </c>
      <c r="B17" s="6" t="s">
        <v>29</v>
      </c>
      <c r="C17" s="6">
        <v>20</v>
      </c>
      <c r="D17" s="6">
        <v>2</v>
      </c>
      <c r="E17" s="6">
        <v>5</v>
      </c>
      <c r="F17" s="6">
        <v>13</v>
      </c>
      <c r="G17" s="6">
        <v>13</v>
      </c>
      <c r="H17" s="6">
        <v>37</v>
      </c>
      <c r="I17" s="6">
        <v>-24</v>
      </c>
      <c r="J17" s="6">
        <v>11</v>
      </c>
      <c r="L17" s="10">
        <f t="shared" si="0"/>
        <v>2</v>
      </c>
      <c r="M17" s="10">
        <f t="shared" si="1"/>
        <v>1</v>
      </c>
      <c r="N17" s="10">
        <f t="shared" si="2"/>
        <v>2</v>
      </c>
      <c r="O17" s="10">
        <f t="shared" si="3"/>
        <v>4</v>
      </c>
      <c r="P17" s="10">
        <f t="shared" si="4"/>
        <v>0</v>
      </c>
      <c r="Q17" s="4"/>
      <c r="R17" s="4" t="s">
        <v>30</v>
      </c>
      <c r="S17" s="4" t="s">
        <v>27</v>
      </c>
      <c r="T17" s="4" t="s">
        <v>25</v>
      </c>
      <c r="U17" s="4" t="s">
        <v>25</v>
      </c>
      <c r="V17" s="4" t="s">
        <v>29</v>
      </c>
      <c r="AL17" s="9">
        <f t="shared" si="5"/>
        <v>2</v>
      </c>
      <c r="AM17" s="9">
        <f t="shared" si="6"/>
        <v>1</v>
      </c>
      <c r="AN17" s="9">
        <f t="shared" si="7"/>
        <v>8</v>
      </c>
      <c r="AO17" s="9">
        <f t="shared" si="8"/>
        <v>8</v>
      </c>
      <c r="AP17" s="9">
        <f t="shared" si="9"/>
        <v>0</v>
      </c>
    </row>
    <row r="18" spans="1:42" x14ac:dyDescent="0.25">
      <c r="A18" s="4"/>
      <c r="B18" s="4"/>
      <c r="C18" s="4"/>
      <c r="D18" s="4"/>
      <c r="E18" s="4"/>
      <c r="F18" s="4"/>
      <c r="G18" s="4"/>
      <c r="H18" s="4"/>
      <c r="I18" s="4"/>
      <c r="J18" s="4"/>
      <c r="L18" s="11">
        <f>SUM(AL2:AL17)</f>
        <v>52</v>
      </c>
      <c r="M18" s="11">
        <f>SUM(AM2:AM17)</f>
        <v>52</v>
      </c>
      <c r="N18" s="11">
        <f>SUM(AN2:AN17)</f>
        <v>54</v>
      </c>
      <c r="O18" s="12">
        <f>SUM(AO2:AO17)</f>
        <v>62</v>
      </c>
      <c r="P18" s="12">
        <f>SUM(AP2:AP17)</f>
        <v>54</v>
      </c>
      <c r="Q18" s="4"/>
    </row>
  </sheetData>
  <conditionalFormatting sqref="L2:P17">
    <cfRule type="colorScale" priority="1">
      <colorScale>
        <cfvo type="min"/>
        <cfvo type="percentile" val="50"/>
        <cfvo type="num" val="15"/>
        <color rgb="FF63BE7B"/>
        <color rgb="FFFFEB84"/>
        <color rgb="FFF8696B"/>
      </colorScale>
    </cfRule>
  </conditionalFormatting>
  <conditionalFormatting sqref="L18:Q18">
    <cfRule type="colorScale" priority="9">
      <colorScale>
        <cfvo type="num" val="0"/>
        <cfvo type="num" val="135"/>
        <color rgb="FFFFEB84"/>
        <color rgb="FFF8696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Allsvenskan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Peter Karlsson</cp:lastModifiedBy>
  <dcterms:created xsi:type="dcterms:W3CDTF">2025-06-16T23:09:47Z</dcterms:created>
  <dcterms:modified xsi:type="dcterms:W3CDTF">2026-09-09T16:12:14Z</dcterms:modified>
</cp:coreProperties>
</file>