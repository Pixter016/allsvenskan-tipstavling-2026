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0440" tabRatio="600" firstSheet="0" activeTab="0" autoFilterDateGrouping="1"/>
  </bookViews>
  <sheets>
    <sheet name="Allsvenska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1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1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8"/>
  <sheetViews>
    <sheetView tabSelected="1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4" customWidth="1" min="3" max="10"/>
    <col width="3.7109375" customWidth="1" min="11" max="11"/>
    <col width="8.5703125" customWidth="1" min="12" max="16"/>
    <col width="3.7109375" customWidth="1" min="17" max="17"/>
    <col width="12.85546875" customWidth="1" min="18" max="20"/>
    <col width="12.85546875" customWidth="1" style="4" min="21" max="22"/>
    <col width="14.28515625" customWidth="1" min="23" max="23"/>
  </cols>
  <sheetData>
    <row r="1">
      <c r="A1" s="1" t="inlineStr">
        <is>
          <t>#</t>
        </is>
      </c>
      <c r="B1" s="1" t="inlineStr">
        <is>
          <t>Lag</t>
        </is>
      </c>
      <c r="C1" s="1" t="inlineStr">
        <is>
          <t>S</t>
        </is>
      </c>
      <c r="D1" s="1" t="inlineStr">
        <is>
          <t>V</t>
        </is>
      </c>
      <c r="E1" s="1" t="inlineStr">
        <is>
          <t>O</t>
        </is>
      </c>
      <c r="F1" s="1" t="inlineStr">
        <is>
          <t>F</t>
        </is>
      </c>
      <c r="G1" s="1" t="inlineStr">
        <is>
          <t>GM</t>
        </is>
      </c>
      <c r="H1" s="1" t="inlineStr">
        <is>
          <t>IM</t>
        </is>
      </c>
      <c r="I1" s="1" t="inlineStr">
        <is>
          <t>MS</t>
        </is>
      </c>
      <c r="J1" s="1" t="inlineStr">
        <is>
          <t>P</t>
        </is>
      </c>
      <c r="L1" s="7" t="inlineStr">
        <is>
          <t>Tim</t>
        </is>
      </c>
      <c r="M1" s="7" t="inlineStr">
        <is>
          <t>Tommy</t>
        </is>
      </c>
      <c r="N1" s="7" t="inlineStr">
        <is>
          <t>Peter</t>
        </is>
      </c>
      <c r="O1" s="7" t="inlineStr">
        <is>
          <t>Ronny</t>
        </is>
      </c>
      <c r="P1" s="7" t="inlineStr">
        <is>
          <t>Kenneth</t>
        </is>
      </c>
      <c r="Q1" s="8" t="n"/>
      <c r="R1" s="7" t="inlineStr">
        <is>
          <t>Tim</t>
        </is>
      </c>
      <c r="S1" s="7" t="inlineStr">
        <is>
          <t>Tommy</t>
        </is>
      </c>
      <c r="T1" s="7" t="inlineStr">
        <is>
          <t>Peter</t>
        </is>
      </c>
      <c r="U1" s="7" t="inlineStr">
        <is>
          <t>Ronny</t>
        </is>
      </c>
      <c r="V1" s="7" t="inlineStr">
        <is>
          <t>Kenneth</t>
        </is>
      </c>
    </row>
    <row r="2">
      <c r="A2" s="2" t="n">
        <v>1</v>
      </c>
      <c r="B2" s="2" t="inlineStr">
        <is>
          <t>AIK</t>
        </is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  <c r="L2" s="10">
        <f>(ROW(B2)-1) - MATCH(B2,$R$2:$R$17,0)</f>
        <v/>
      </c>
      <c r="M2" s="10">
        <f>(ROW(B2)-1) - MATCH(B2,$S$2:$S$17,0)</f>
        <v/>
      </c>
      <c r="N2" s="10">
        <f>(ROW(B2)-1) - MATCH(B2,$T$2:$T$17,0)</f>
        <v/>
      </c>
      <c r="O2" s="10">
        <f>(ROW(B2)-1) - MATCH(B2,$U$2:$U$17,0)</f>
        <v/>
      </c>
      <c r="P2" s="10">
        <f>(ROW(B2)-1) - MATCH(B2,$V$2:$V$17,0)</f>
        <v/>
      </c>
      <c r="Q2" s="4" t="n"/>
      <c r="R2" s="4" t="inlineStr">
        <is>
          <t>Mjällby AIF</t>
        </is>
      </c>
      <c r="S2" s="4" t="inlineStr">
        <is>
          <t>Mjällby AIF</t>
        </is>
      </c>
      <c r="T2" s="4" t="inlineStr">
        <is>
          <t>Hammarby</t>
        </is>
      </c>
      <c r="U2" s="4" t="inlineStr">
        <is>
          <t>Hammarby</t>
        </is>
      </c>
      <c r="V2" s="4" t="inlineStr">
        <is>
          <t>Hammarby</t>
        </is>
      </c>
      <c r="AL2" s="9">
        <f>ABS((ROW(R2)-1) - MATCH(R2,$B$2:$B$17,0))</f>
        <v/>
      </c>
      <c r="AM2" s="9">
        <f>ABS((ROW(S2)-1) - MATCH(S2,$B$2:$B$17,0))</f>
        <v/>
      </c>
      <c r="AN2" s="9">
        <f>ABS((ROW(T2)-1) - MATCH(T2,$B$2:$B$17,0))</f>
        <v/>
      </c>
      <c r="AO2" s="9">
        <f>ABS((ROW(U2)-1) - MATCH(U2,$B$2:$B$17,0))</f>
        <v/>
      </c>
      <c r="AP2" s="9">
        <f>ABS((ROW(V2)-1) - MATCH(V2,$B$2:$B$17,0))</f>
        <v/>
      </c>
    </row>
    <row r="3">
      <c r="A3" s="3" t="n">
        <v>2</v>
      </c>
      <c r="B3" s="3" t="inlineStr">
        <is>
          <t>BK Häcken</t>
        </is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L3" s="10">
        <f>(ROW(B3)-1) - MATCH(B3,$R$2:$R$17,0)</f>
        <v/>
      </c>
      <c r="M3" s="10">
        <f>(ROW(B3)-1) - MATCH(B3,$S$2:$S$17,0)</f>
        <v/>
      </c>
      <c r="N3" s="10">
        <f>(ROW(B3)-1) - MATCH(B3,$T$2:$T$17,0)</f>
        <v/>
      </c>
      <c r="O3" s="10">
        <f>(ROW(B3)-1) - MATCH(B3,$U$2:$U$17,0)</f>
        <v/>
      </c>
      <c r="P3" s="10">
        <f>(ROW(B3)-1) - MATCH(B3,$V$2:$V$17,0)</f>
        <v/>
      </c>
      <c r="Q3" s="4" t="n"/>
      <c r="R3" s="4" t="inlineStr">
        <is>
          <t>Hammarby</t>
        </is>
      </c>
      <c r="S3" s="4" t="inlineStr">
        <is>
          <t>Hammarby</t>
        </is>
      </c>
      <c r="T3" s="4" t="inlineStr">
        <is>
          <t>BK Häcken</t>
        </is>
      </c>
      <c r="U3" s="4" t="inlineStr">
        <is>
          <t>Mjällby AIF</t>
        </is>
      </c>
      <c r="V3" s="4" t="inlineStr">
        <is>
          <t>Malmö FF</t>
        </is>
      </c>
      <c r="AL3" s="9">
        <f>ABS((ROW(R3)-1) - MATCH(R3,$B$2:$B$17,0))</f>
        <v/>
      </c>
      <c r="AM3" s="9">
        <f>ABS((ROW(S3)-1) - MATCH(S3,$B$2:$B$17,0))</f>
        <v/>
      </c>
      <c r="AN3" s="9">
        <f>ABS((ROW(T3)-1) - MATCH(T3,$B$2:$B$17,0))</f>
        <v/>
      </c>
      <c r="AO3" s="9">
        <f>ABS((ROW(U3)-1) - MATCH(U3,$B$2:$B$17,0))</f>
        <v/>
      </c>
      <c r="AP3" s="9">
        <f>ABS((ROW(V3)-1) - MATCH(V3,$B$2:$B$17,0))</f>
        <v/>
      </c>
    </row>
    <row r="4">
      <c r="A4" s="3" t="n">
        <v>3</v>
      </c>
      <c r="B4" s="3" t="inlineStr">
        <is>
          <t>Degerfors IF</t>
        </is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L4" s="10">
        <f>(ROW(B4)-1) - MATCH(B4,$R$2:$R$17,0)</f>
        <v/>
      </c>
      <c r="M4" s="10">
        <f>(ROW(B4)-1) - MATCH(B4,$S$2:$S$17,0)</f>
        <v/>
      </c>
      <c r="N4" s="10">
        <f>(ROW(B4)-1) - MATCH(B4,$T$2:$T$17,0)</f>
        <v/>
      </c>
      <c r="O4" s="10">
        <f>(ROW(B4)-1) - MATCH(B4,$U$2:$U$17,0)</f>
        <v/>
      </c>
      <c r="P4" s="10">
        <f>(ROW(B4)-1) - MATCH(B4,$V$2:$V$17,0)</f>
        <v/>
      </c>
      <c r="Q4" s="4" t="n"/>
      <c r="R4" s="4" t="inlineStr">
        <is>
          <t>Malmö FF</t>
        </is>
      </c>
      <c r="S4" s="4" t="inlineStr">
        <is>
          <t>GAIS</t>
        </is>
      </c>
      <c r="T4" s="4" t="inlineStr">
        <is>
          <t>Malmö FF</t>
        </is>
      </c>
      <c r="U4" s="4" t="inlineStr">
        <is>
          <t>GAIS</t>
        </is>
      </c>
      <c r="V4" s="4" t="inlineStr">
        <is>
          <t>Mjällby AIF</t>
        </is>
      </c>
      <c r="AL4" s="9">
        <f>ABS((ROW(R4)-1) - MATCH(R4,$B$2:$B$17,0))</f>
        <v/>
      </c>
      <c r="AM4" s="9">
        <f>ABS((ROW(S4)-1) - MATCH(S4,$B$2:$B$17,0))</f>
        <v/>
      </c>
      <c r="AN4" s="9">
        <f>ABS((ROW(T4)-1) - MATCH(T4,$B$2:$B$17,0))</f>
        <v/>
      </c>
      <c r="AO4" s="9">
        <f>ABS((ROW(U4)-1) - MATCH(U4,$B$2:$B$17,0))</f>
        <v/>
      </c>
      <c r="AP4" s="9">
        <f>ABS((ROW(V4)-1) - MATCH(V4,$B$2:$B$17,0))</f>
        <v/>
      </c>
    </row>
    <row r="5">
      <c r="A5" s="4" t="n">
        <v>4</v>
      </c>
      <c r="B5" s="4" t="inlineStr">
        <is>
          <t>Djurgården</t>
        </is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L5" s="10">
        <f>(ROW(B5)-1) - MATCH(B5,$R$2:$R$17,0)</f>
        <v/>
      </c>
      <c r="M5" s="10">
        <f>(ROW(B5)-1) - MATCH(B5,$S$2:$S$17,0)</f>
        <v/>
      </c>
      <c r="N5" s="10">
        <f>(ROW(B5)-1) - MATCH(B5,$T$2:$T$17,0)</f>
        <v/>
      </c>
      <c r="O5" s="10">
        <f>(ROW(B5)-1) - MATCH(B5,$U$2:$U$17,0)</f>
        <v/>
      </c>
      <c r="P5" s="10">
        <f>(ROW(B5)-1) - MATCH(B5,$V$2:$V$17,0)</f>
        <v/>
      </c>
      <c r="Q5" s="4" t="n"/>
      <c r="R5" s="4" t="inlineStr">
        <is>
          <t>GAIS</t>
        </is>
      </c>
      <c r="S5" s="4" t="inlineStr">
        <is>
          <t>Malmö FF</t>
        </is>
      </c>
      <c r="T5" s="4" t="inlineStr">
        <is>
          <t>Djurgården</t>
        </is>
      </c>
      <c r="U5" s="4" t="inlineStr">
        <is>
          <t>IK Sirius</t>
        </is>
      </c>
      <c r="V5" s="4" t="inlineStr">
        <is>
          <t>Djurgården</t>
        </is>
      </c>
      <c r="AL5" s="9">
        <f>ABS((ROW(R5)-1) - MATCH(R5,$B$2:$B$17,0))</f>
        <v/>
      </c>
      <c r="AM5" s="9">
        <f>ABS((ROW(S5)-1) - MATCH(S5,$B$2:$B$17,0))</f>
        <v/>
      </c>
      <c r="AN5" s="9">
        <f>ABS((ROW(T5)-1) - MATCH(T5,$B$2:$B$17,0))</f>
        <v/>
      </c>
      <c r="AO5" s="9">
        <f>ABS((ROW(U5)-1) - MATCH(U5,$B$2:$B$17,0))</f>
        <v/>
      </c>
      <c r="AP5" s="9">
        <f>ABS((ROW(V5)-1) - MATCH(V5,$B$2:$B$17,0))</f>
        <v/>
      </c>
    </row>
    <row r="6">
      <c r="A6" s="4" t="n">
        <v>5</v>
      </c>
      <c r="B6" s="4" t="inlineStr">
        <is>
          <t>GAIS</t>
        </is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L6" s="10">
        <f>(ROW(B6)-1) - MATCH(B6,$R$2:$R$17,0)</f>
        <v/>
      </c>
      <c r="M6" s="10">
        <f>(ROW(B6)-1) - MATCH(B6,$S$2:$S$17,0)</f>
        <v/>
      </c>
      <c r="N6" s="10">
        <f>(ROW(B6)-1) - MATCH(B6,$T$2:$T$17,0)</f>
        <v/>
      </c>
      <c r="O6" s="10">
        <f>(ROW(B6)-1) - MATCH(B6,$U$2:$U$17,0)</f>
        <v/>
      </c>
      <c r="P6" s="10">
        <f>(ROW(B6)-1) - MATCH(B6,$V$2:$V$17,0)</f>
        <v/>
      </c>
      <c r="Q6" s="4" t="n"/>
      <c r="R6" s="4" t="inlineStr">
        <is>
          <t>AIK</t>
        </is>
      </c>
      <c r="S6" s="4" t="inlineStr">
        <is>
          <t>AIK</t>
        </is>
      </c>
      <c r="T6" s="4" t="inlineStr">
        <is>
          <t>GAIS</t>
        </is>
      </c>
      <c r="U6" s="4" t="inlineStr">
        <is>
          <t>Malmö FF</t>
        </is>
      </c>
      <c r="V6" s="4" t="inlineStr">
        <is>
          <t>BK Häcken</t>
        </is>
      </c>
      <c r="AL6" s="9">
        <f>ABS((ROW(R6)-1) - MATCH(R6,$B$2:$B$17,0))</f>
        <v/>
      </c>
      <c r="AM6" s="9">
        <f>ABS((ROW(S6)-1) - MATCH(S6,$B$2:$B$17,0))</f>
        <v/>
      </c>
      <c r="AN6" s="9">
        <f>ABS((ROW(T6)-1) - MATCH(T6,$B$2:$B$17,0))</f>
        <v/>
      </c>
      <c r="AO6" s="9">
        <f>ABS((ROW(U6)-1) - MATCH(U6,$B$2:$B$17,0))</f>
        <v/>
      </c>
      <c r="AP6" s="9">
        <f>ABS((ROW(V6)-1) - MATCH(V6,$B$2:$B$17,0))</f>
        <v/>
      </c>
    </row>
    <row r="7">
      <c r="A7" s="4" t="n">
        <v>6</v>
      </c>
      <c r="B7" s="4" t="inlineStr">
        <is>
          <t>Halmstads BK</t>
        </is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L7" s="10">
        <f>(ROW(B7)-1) - MATCH(B7,$R$2:$R$17,0)</f>
        <v/>
      </c>
      <c r="M7" s="10">
        <f>(ROW(B7)-1) - MATCH(B7,$S$2:$S$17,0)</f>
        <v/>
      </c>
      <c r="N7" s="10">
        <f>(ROW(B7)-1) - MATCH(B7,$T$2:$T$17,0)</f>
        <v/>
      </c>
      <c r="O7" s="10">
        <f>(ROW(B7)-1) - MATCH(B7,$U$2:$U$17,0)</f>
        <v/>
      </c>
      <c r="P7" s="10">
        <f>(ROW(B7)-1) - MATCH(B7,$V$2:$V$17,0)</f>
        <v/>
      </c>
      <c r="Q7" s="4" t="n"/>
      <c r="R7" s="4" t="inlineStr">
        <is>
          <t>IK Sirius</t>
        </is>
      </c>
      <c r="S7" s="4" t="inlineStr">
        <is>
          <t>IK Sirius</t>
        </is>
      </c>
      <c r="T7" s="4" t="inlineStr">
        <is>
          <t>Mjällby AIF</t>
        </is>
      </c>
      <c r="U7" s="4" t="inlineStr">
        <is>
          <t>Djurgården</t>
        </is>
      </c>
      <c r="V7" s="4" t="inlineStr">
        <is>
          <t>GAIS</t>
        </is>
      </c>
      <c r="AL7" s="9">
        <f>ABS((ROW(R7)-1) - MATCH(R7,$B$2:$B$17,0))</f>
        <v/>
      </c>
      <c r="AM7" s="9">
        <f>ABS((ROW(S7)-1) - MATCH(S7,$B$2:$B$17,0))</f>
        <v/>
      </c>
      <c r="AN7" s="9">
        <f>ABS((ROW(T7)-1) - MATCH(T7,$B$2:$B$17,0))</f>
        <v/>
      </c>
      <c r="AO7" s="9">
        <f>ABS((ROW(U7)-1) - MATCH(U7,$B$2:$B$17,0))</f>
        <v/>
      </c>
      <c r="AP7" s="9">
        <f>ABS((ROW(V7)-1) - MATCH(V7,$B$2:$B$17,0))</f>
        <v/>
      </c>
    </row>
    <row r="8">
      <c r="A8" s="4" t="n">
        <v>7</v>
      </c>
      <c r="B8" s="4" t="inlineStr">
        <is>
          <t>Hammarby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L8" s="10">
        <f>(ROW(B8)-1) - MATCH(B8,$R$2:$R$17,0)</f>
        <v/>
      </c>
      <c r="M8" s="10">
        <f>(ROW(B8)-1) - MATCH(B8,$S$2:$S$17,0)</f>
        <v/>
      </c>
      <c r="N8" s="10">
        <f>(ROW(B8)-1) - MATCH(B8,$T$2:$T$17,0)</f>
        <v/>
      </c>
      <c r="O8" s="10">
        <f>(ROW(B8)-1) - MATCH(B8,$U$2:$U$17,0)</f>
        <v/>
      </c>
      <c r="P8" s="10">
        <f>(ROW(B8)-1) - MATCH(B8,$V$2:$V$17,0)</f>
        <v/>
      </c>
      <c r="Q8" s="4" t="n"/>
      <c r="R8" s="4" t="inlineStr">
        <is>
          <t>Djurgården</t>
        </is>
      </c>
      <c r="S8" s="4" t="inlineStr">
        <is>
          <t>Djurgården</t>
        </is>
      </c>
      <c r="T8" s="4" t="inlineStr">
        <is>
          <t>AIK</t>
        </is>
      </c>
      <c r="U8" s="4" t="inlineStr">
        <is>
          <t>IFK Göteborg</t>
        </is>
      </c>
      <c r="V8" s="4" t="inlineStr">
        <is>
          <t>IFK Göteborg</t>
        </is>
      </c>
      <c r="AL8" s="9">
        <f>ABS((ROW(R8)-1) - MATCH(R8,$B$2:$B$17,0))</f>
        <v/>
      </c>
      <c r="AM8" s="9">
        <f>ABS((ROW(S8)-1) - MATCH(S8,$B$2:$B$17,0))</f>
        <v/>
      </c>
      <c r="AN8" s="9">
        <f>ABS((ROW(T8)-1) - MATCH(T8,$B$2:$B$17,0))</f>
        <v/>
      </c>
      <c r="AO8" s="9">
        <f>ABS((ROW(U8)-1) - MATCH(U8,$B$2:$B$17,0))</f>
        <v/>
      </c>
      <c r="AP8" s="9">
        <f>ABS((ROW(V8)-1) - MATCH(V8,$B$2:$B$17,0))</f>
        <v/>
      </c>
    </row>
    <row r="9">
      <c r="A9" s="4" t="n">
        <v>8</v>
      </c>
      <c r="B9" s="4" t="inlineStr">
        <is>
          <t>BP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L9" s="10">
        <f>(ROW(B9)-1) - MATCH(B9,$R$2:$R$17,0)</f>
        <v/>
      </c>
      <c r="M9" s="10">
        <f>(ROW(B9)-1) - MATCH(B9,$S$2:$S$17,0)</f>
        <v/>
      </c>
      <c r="N9" s="10">
        <f>(ROW(B9)-1) - MATCH(B9,$T$2:$T$17,0)</f>
        <v/>
      </c>
      <c r="O9" s="10">
        <f>(ROW(B9)-1) - MATCH(B9,$U$2:$U$17,0)</f>
        <v/>
      </c>
      <c r="P9" s="10">
        <f>(ROW(B9)-1) - MATCH(B9,$V$2:$V$17,0)</f>
        <v/>
      </c>
      <c r="Q9" s="4" t="n"/>
      <c r="R9" s="4" t="inlineStr">
        <is>
          <t>IFK Göteborg</t>
        </is>
      </c>
      <c r="S9" s="4" t="inlineStr">
        <is>
          <t>BK Häcken</t>
        </is>
      </c>
      <c r="T9" s="4" t="inlineStr">
        <is>
          <t>IFK Göteborg</t>
        </is>
      </c>
      <c r="U9" s="4" t="inlineStr">
        <is>
          <t>BK Häcken</t>
        </is>
      </c>
      <c r="V9" s="4" t="inlineStr">
        <is>
          <t>AIK</t>
        </is>
      </c>
      <c r="AL9" s="9">
        <f>ABS((ROW(R9)-1) - MATCH(R9,$B$2:$B$17,0))</f>
        <v/>
      </c>
      <c r="AM9" s="9">
        <f>ABS((ROW(S9)-1) - MATCH(S9,$B$2:$B$17,0))</f>
        <v/>
      </c>
      <c r="AN9" s="9">
        <f>ABS((ROW(T9)-1) - MATCH(T9,$B$2:$B$17,0))</f>
        <v/>
      </c>
      <c r="AO9" s="9">
        <f>ABS((ROW(U9)-1) - MATCH(U9,$B$2:$B$17,0))</f>
        <v/>
      </c>
      <c r="AP9" s="9">
        <f>ABS((ROW(V9)-1) - MATCH(V9,$B$2:$B$17,0))</f>
        <v/>
      </c>
    </row>
    <row r="10">
      <c r="A10" s="4" t="n">
        <v>9</v>
      </c>
      <c r="B10" s="4" t="inlineStr">
        <is>
          <t>IF Elfsborg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L10" s="10">
        <f>(ROW(B10)-1) - MATCH(B10,$R$2:$R$17,0)</f>
        <v/>
      </c>
      <c r="M10" s="10">
        <f>(ROW(B10)-1) - MATCH(B10,$S$2:$S$17,0)</f>
        <v/>
      </c>
      <c r="N10" s="10">
        <f>(ROW(B10)-1) - MATCH(B10,$T$2:$T$17,0)</f>
        <v/>
      </c>
      <c r="O10" s="10">
        <f>(ROW(B10)-1) - MATCH(B10,$U$2:$U$17,0)</f>
        <v/>
      </c>
      <c r="P10" s="10">
        <f>(ROW(B10)-1) - MATCH(B10,$V$2:$V$17,0)</f>
        <v/>
      </c>
      <c r="Q10" s="4" t="n"/>
      <c r="R10" s="4" t="inlineStr">
        <is>
          <t>BK Häcken</t>
        </is>
      </c>
      <c r="S10" s="4" t="inlineStr">
        <is>
          <t>IFK Göteborg</t>
        </is>
      </c>
      <c r="T10" s="4" t="inlineStr">
        <is>
          <t>IK Sirius</t>
        </is>
      </c>
      <c r="U10" s="4" t="inlineStr">
        <is>
          <t>BP</t>
        </is>
      </c>
      <c r="V10" s="4" t="inlineStr">
        <is>
          <t>IK Sirius</t>
        </is>
      </c>
      <c r="AL10" s="9">
        <f>ABS((ROW(R10)-1) - MATCH(R10,$B$2:$B$17,0))</f>
        <v/>
      </c>
      <c r="AM10" s="9">
        <f>ABS((ROW(S10)-1) - MATCH(S10,$B$2:$B$17,0))</f>
        <v/>
      </c>
      <c r="AN10" s="9">
        <f>ABS((ROW(T10)-1) - MATCH(T10,$B$2:$B$17,0))</f>
        <v/>
      </c>
      <c r="AO10" s="9">
        <f>ABS((ROW(U10)-1) - MATCH(U10,$B$2:$B$17,0))</f>
        <v/>
      </c>
      <c r="AP10" s="9">
        <f>ABS((ROW(V10)-1) - MATCH(V10,$B$2:$B$17,0))</f>
        <v/>
      </c>
    </row>
    <row r="11">
      <c r="A11" s="4" t="n">
        <v>10</v>
      </c>
      <c r="B11" s="4" t="inlineStr">
        <is>
          <t>IFK Göteborg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L11" s="10">
        <f>(ROW(B11)-1) - MATCH(B11,$R$2:$R$17,0)</f>
        <v/>
      </c>
      <c r="M11" s="10">
        <f>(ROW(B11)-1) - MATCH(B11,$S$2:$S$17,0)</f>
        <v/>
      </c>
      <c r="N11" s="10">
        <f>(ROW(B11)-1) - MATCH(B11,$T$2:$T$17,0)</f>
        <v/>
      </c>
      <c r="O11" s="10">
        <f>(ROW(B11)-1) - MATCH(B11,$U$2:$U$17,0)</f>
        <v/>
      </c>
      <c r="P11" s="10">
        <f>(ROW(B11)-1) - MATCH(B11,$V$2:$V$17,0)</f>
        <v/>
      </c>
      <c r="Q11" s="4" t="n"/>
      <c r="R11" s="4" t="inlineStr">
        <is>
          <t>IF Elfsborg</t>
        </is>
      </c>
      <c r="S11" s="4" t="inlineStr">
        <is>
          <t>IF Elfsborg</t>
        </is>
      </c>
      <c r="T11" s="4" t="inlineStr">
        <is>
          <t>IF Elfsborg</t>
        </is>
      </c>
      <c r="U11" s="4" t="inlineStr">
        <is>
          <t>IF Elfsborg</t>
        </is>
      </c>
      <c r="V11" s="4" t="inlineStr">
        <is>
          <t>IF Elfsborg</t>
        </is>
      </c>
      <c r="AL11" s="9">
        <f>ABS((ROW(R11)-1) - MATCH(R11,$B$2:$B$17,0))</f>
        <v/>
      </c>
      <c r="AM11" s="9">
        <f>ABS((ROW(S11)-1) - MATCH(S11,$B$2:$B$17,0))</f>
        <v/>
      </c>
      <c r="AN11" s="9">
        <f>ABS((ROW(T11)-1) - MATCH(T11,$B$2:$B$17,0))</f>
        <v/>
      </c>
      <c r="AO11" s="9">
        <f>ABS((ROW(U11)-1) - MATCH(U11,$B$2:$B$17,0))</f>
        <v/>
      </c>
      <c r="AP11" s="9">
        <f>ABS((ROW(V11)-1) - MATCH(V11,$B$2:$B$17,0))</f>
        <v/>
      </c>
    </row>
    <row r="12">
      <c r="A12" s="4" t="n">
        <v>11</v>
      </c>
      <c r="B12" s="4" t="inlineStr">
        <is>
          <t>IK Sirius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L12" s="10">
        <f>(ROW(B12)-1) - MATCH(B12,$R$2:$R$17,0)</f>
        <v/>
      </c>
      <c r="M12" s="10">
        <f>(ROW(B12)-1) - MATCH(B12,$S$2:$S$17,0)</f>
        <v/>
      </c>
      <c r="N12" s="10">
        <f>(ROW(B12)-1) - MATCH(B12,$T$2:$T$17,0)</f>
        <v/>
      </c>
      <c r="O12" s="10">
        <f>(ROW(B12)-1) - MATCH(B12,$U$2:$U$17,0)</f>
        <v/>
      </c>
      <c r="P12" s="10">
        <f>(ROW(B12)-1) - MATCH(B12,$V$2:$V$17,0)</f>
        <v/>
      </c>
      <c r="Q12" s="4" t="n"/>
      <c r="R12" s="4" t="inlineStr">
        <is>
          <t>BP</t>
        </is>
      </c>
      <c r="S12" s="4" t="inlineStr">
        <is>
          <t>BP</t>
        </is>
      </c>
      <c r="T12" s="4" t="inlineStr">
        <is>
          <t>Örgryte IS</t>
        </is>
      </c>
      <c r="U12" s="4" t="inlineStr">
        <is>
          <t>AIK</t>
        </is>
      </c>
      <c r="V12" s="4" t="inlineStr">
        <is>
          <t>Kalmar FF</t>
        </is>
      </c>
      <c r="AL12" s="9">
        <f>ABS((ROW(R12)-1) - MATCH(R12,$B$2:$B$17,0))</f>
        <v/>
      </c>
      <c r="AM12" s="9">
        <f>ABS((ROW(S12)-1) - MATCH(S12,$B$2:$B$17,0))</f>
        <v/>
      </c>
      <c r="AN12" s="9">
        <f>ABS((ROW(T12)-1) - MATCH(T12,$B$2:$B$17,0))</f>
        <v/>
      </c>
      <c r="AO12" s="9">
        <f>ABS((ROW(U12)-1) - MATCH(U12,$B$2:$B$17,0))</f>
        <v/>
      </c>
      <c r="AP12" s="9">
        <f>ABS((ROW(V12)-1) - MATCH(V12,$B$2:$B$17,0))</f>
        <v/>
      </c>
    </row>
    <row r="13">
      <c r="A13" s="4" t="n">
        <v>12</v>
      </c>
      <c r="B13" s="4" t="inlineStr">
        <is>
          <t>Kalmar FF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L13" s="10">
        <f>(ROW(B13)-1) - MATCH(B13,$R$2:$R$17,0)</f>
        <v/>
      </c>
      <c r="M13" s="10">
        <f>(ROW(B13)-1) - MATCH(B13,$S$2:$S$17,0)</f>
        <v/>
      </c>
      <c r="N13" s="10">
        <f>(ROW(B13)-1) - MATCH(B13,$T$2:$T$17,0)</f>
        <v/>
      </c>
      <c r="O13" s="10">
        <f>(ROW(B13)-1) - MATCH(B13,$U$2:$U$17,0)</f>
        <v/>
      </c>
      <c r="P13" s="10">
        <f>(ROW(B13)-1) - MATCH(B13,$V$2:$V$17,0)</f>
        <v/>
      </c>
      <c r="Q13" s="4" t="n"/>
      <c r="R13" s="4" t="inlineStr">
        <is>
          <t>Västerås SK</t>
        </is>
      </c>
      <c r="S13" s="4" t="inlineStr">
        <is>
          <t>Kalmar FF</t>
        </is>
      </c>
      <c r="T13" s="4" t="inlineStr">
        <is>
          <t>BP</t>
        </is>
      </c>
      <c r="U13" s="4" t="inlineStr">
        <is>
          <t>Halmstads BK</t>
        </is>
      </c>
      <c r="V13" s="4" t="inlineStr">
        <is>
          <t>BP</t>
        </is>
      </c>
      <c r="AL13" s="9">
        <f>ABS((ROW(R13)-1) - MATCH(R13,$B$2:$B$17,0))</f>
        <v/>
      </c>
      <c r="AM13" s="9">
        <f>ABS((ROW(S13)-1) - MATCH(S13,$B$2:$B$17,0))</f>
        <v/>
      </c>
      <c r="AN13" s="9">
        <f>ABS((ROW(T13)-1) - MATCH(T13,$B$2:$B$17,0))</f>
        <v/>
      </c>
      <c r="AO13" s="9">
        <f>ABS((ROW(U13)-1) - MATCH(U13,$B$2:$B$17,0))</f>
        <v/>
      </c>
      <c r="AP13" s="9">
        <f>ABS((ROW(V13)-1) - MATCH(V13,$B$2:$B$17,0))</f>
        <v/>
      </c>
    </row>
    <row r="14">
      <c r="A14" s="4" t="n">
        <v>13</v>
      </c>
      <c r="B14" s="4" t="inlineStr">
        <is>
          <t>Malmö FF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L14" s="10">
        <f>(ROW(B14)-1) - MATCH(B14,$R$2:$R$17,0)</f>
        <v/>
      </c>
      <c r="M14" s="10">
        <f>(ROW(B14)-1) - MATCH(B14,$S$2:$S$17,0)</f>
        <v/>
      </c>
      <c r="N14" s="10">
        <f>(ROW(B14)-1) - MATCH(B14,$T$2:$T$17,0)</f>
        <v/>
      </c>
      <c r="O14" s="10">
        <f>(ROW(B14)-1) - MATCH(B14,$U$2:$U$17,0)</f>
        <v/>
      </c>
      <c r="P14" s="10">
        <f>(ROW(B14)-1) - MATCH(B14,$V$2:$V$17,0)</f>
        <v/>
      </c>
      <c r="Q14" s="4" t="n"/>
      <c r="R14" s="4" t="inlineStr">
        <is>
          <t>Kalmar FF</t>
        </is>
      </c>
      <c r="S14" s="4" t="inlineStr">
        <is>
          <t>Degerfors IF</t>
        </is>
      </c>
      <c r="T14" s="4" t="inlineStr">
        <is>
          <t>Kalmar FF</t>
        </is>
      </c>
      <c r="U14" s="4" t="inlineStr">
        <is>
          <t>Örgryte IS</t>
        </is>
      </c>
      <c r="V14" s="4" t="inlineStr">
        <is>
          <t>Örgryte IS</t>
        </is>
      </c>
      <c r="AL14" s="9">
        <f>ABS((ROW(R14)-1) - MATCH(R14,$B$2:$B$17,0))</f>
        <v/>
      </c>
      <c r="AM14" s="9">
        <f>ABS((ROW(S14)-1) - MATCH(S14,$B$2:$B$17,0))</f>
        <v/>
      </c>
      <c r="AN14" s="9">
        <f>ABS((ROW(T14)-1) - MATCH(T14,$B$2:$B$17,0))</f>
        <v/>
      </c>
      <c r="AO14" s="9">
        <f>ABS((ROW(U14)-1) - MATCH(U14,$B$2:$B$17,0))</f>
        <v/>
      </c>
      <c r="AP14" s="9">
        <f>ABS((ROW(V14)-1) - MATCH(V14,$B$2:$B$17,0))</f>
        <v/>
      </c>
    </row>
    <row r="15">
      <c r="A15" s="5" t="n">
        <v>14</v>
      </c>
      <c r="B15" s="5" t="inlineStr">
        <is>
          <t>Mjällby AIF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L15" s="10">
        <f>(ROW(B15)-1) - MATCH(B15,$R$2:$R$17,0)</f>
        <v/>
      </c>
      <c r="M15" s="10">
        <f>(ROW(B15)-1) - MATCH(B15,$S$2:$S$17,0)</f>
        <v/>
      </c>
      <c r="N15" s="10">
        <f>(ROW(B15)-1) - MATCH(B15,$T$2:$T$17,0)</f>
        <v/>
      </c>
      <c r="O15" s="10">
        <f>(ROW(B15)-1) - MATCH(B15,$U$2:$U$17,0)</f>
        <v/>
      </c>
      <c r="P15" s="10">
        <f>(ROW(B15)-1) - MATCH(B15,$V$2:$V$17,0)</f>
        <v/>
      </c>
      <c r="Q15" s="4" t="n"/>
      <c r="R15" s="4" t="inlineStr">
        <is>
          <t>Halmstads BK</t>
        </is>
      </c>
      <c r="S15" s="4" t="inlineStr">
        <is>
          <t>Västerås SK</t>
        </is>
      </c>
      <c r="T15" s="4" t="inlineStr">
        <is>
          <t>Halmstads BK</t>
        </is>
      </c>
      <c r="U15" s="4" t="inlineStr">
        <is>
          <t>Degerfors IF</t>
        </is>
      </c>
      <c r="V15" s="4" t="inlineStr">
        <is>
          <t>Degerfors IF</t>
        </is>
      </c>
      <c r="AL15" s="9">
        <f>ABS((ROW(R15)-1) - MATCH(R15,$B$2:$B$17,0))</f>
        <v/>
      </c>
      <c r="AM15" s="9">
        <f>ABS((ROW(S15)-1) - MATCH(S15,$B$2:$B$17,0))</f>
        <v/>
      </c>
      <c r="AN15" s="9">
        <f>ABS((ROW(T15)-1) - MATCH(T15,$B$2:$B$17,0))</f>
        <v/>
      </c>
      <c r="AO15" s="9">
        <f>ABS((ROW(U15)-1) - MATCH(U15,$B$2:$B$17,0))</f>
        <v/>
      </c>
      <c r="AP15" s="9">
        <f>ABS((ROW(V15)-1) - MATCH(V15,$B$2:$B$17,0))</f>
        <v/>
      </c>
    </row>
    <row r="16">
      <c r="A16" s="6" t="n">
        <v>15</v>
      </c>
      <c r="B16" s="6" t="inlineStr">
        <is>
          <t>Västerås SK</t>
        </is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L16" s="10">
        <f>(ROW(B16)-1) - MATCH(B16,$R$2:$R$17,0)</f>
        <v/>
      </c>
      <c r="M16" s="10">
        <f>(ROW(B16)-1) - MATCH(B16,$S$2:$S$17,0)</f>
        <v/>
      </c>
      <c r="N16" s="10">
        <f>(ROW(B16)-1) - MATCH(B16,$T$2:$T$17,0)</f>
        <v/>
      </c>
      <c r="O16" s="10">
        <f>(ROW(B16)-1) - MATCH(B16,$U$2:$U$17,0)</f>
        <v/>
      </c>
      <c r="P16" s="10">
        <f>(ROW(B16)-1) - MATCH(B16,$V$2:$V$17,0)</f>
        <v/>
      </c>
      <c r="Q16" s="4" t="n"/>
      <c r="R16" s="4" t="inlineStr">
        <is>
          <t>Örgryte IS</t>
        </is>
      </c>
      <c r="S16" s="4" t="inlineStr">
        <is>
          <t>Halmstads BK</t>
        </is>
      </c>
      <c r="T16" s="4" t="inlineStr">
        <is>
          <t>Degerfors IF</t>
        </is>
      </c>
      <c r="U16" s="4" t="inlineStr">
        <is>
          <t>Kalmar FF</t>
        </is>
      </c>
      <c r="V16" s="4" t="inlineStr">
        <is>
          <t>Västerås SK</t>
        </is>
      </c>
      <c r="AL16" s="9">
        <f>ABS((ROW(R16)-1) - MATCH(R16,$B$2:$B$17,0))</f>
        <v/>
      </c>
      <c r="AM16" s="9">
        <f>ABS((ROW(S16)-1) - MATCH(S16,$B$2:$B$17,0))</f>
        <v/>
      </c>
      <c r="AN16" s="9">
        <f>ABS((ROW(T16)-1) - MATCH(T16,$B$2:$B$17,0))</f>
        <v/>
      </c>
      <c r="AO16" s="9">
        <f>ABS((ROW(U16)-1) - MATCH(U16,$B$2:$B$17,0))</f>
        <v/>
      </c>
      <c r="AP16" s="9">
        <f>ABS((ROW(V16)-1) - MATCH(V16,$B$2:$B$17,0))</f>
        <v/>
      </c>
    </row>
    <row r="17">
      <c r="A17" s="6" t="n">
        <v>16</v>
      </c>
      <c r="B17" s="6" t="inlineStr">
        <is>
          <t>Örgryte IS</t>
        </is>
      </c>
      <c r="C17" s="6" t="n">
        <v>0</v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L17" s="10">
        <f>(ROW(B17)-1) - MATCH(B17,$R$2:$R$17,0)</f>
        <v/>
      </c>
      <c r="M17" s="10">
        <f>(ROW(B17)-1) - MATCH(B17,$S$2:$S$17,0)</f>
        <v/>
      </c>
      <c r="N17" s="10">
        <f>(ROW(B17)-1) - MATCH(B17,$T$2:$T$17,0)</f>
        <v/>
      </c>
      <c r="O17" s="10">
        <f>(ROW(B17)-1) - MATCH(B17,$U$2:$U$17,0)</f>
        <v/>
      </c>
      <c r="P17" s="10">
        <f>(ROW(B17)-1) - MATCH(B17,$V$2:$V$17,0)</f>
        <v/>
      </c>
      <c r="Q17" s="4" t="n"/>
      <c r="R17" s="4" t="inlineStr">
        <is>
          <t>Degerfors IF</t>
        </is>
      </c>
      <c r="S17" s="4" t="inlineStr">
        <is>
          <t>Örgryte IS</t>
        </is>
      </c>
      <c r="T17" s="4" t="inlineStr">
        <is>
          <t>Västerås SK</t>
        </is>
      </c>
      <c r="U17" s="4" t="inlineStr">
        <is>
          <t>Västerås SK</t>
        </is>
      </c>
      <c r="V17" s="4" t="inlineStr">
        <is>
          <t>Halmstads BK</t>
        </is>
      </c>
      <c r="AL17" s="9">
        <f>ABS((ROW(R17)-1) - MATCH(R17,$B$2:$B$17,0))</f>
        <v/>
      </c>
      <c r="AM17" s="9">
        <f>ABS((ROW(S17)-1) - MATCH(S17,$B$2:$B$17,0))</f>
        <v/>
      </c>
      <c r="AN17" s="9">
        <f>ABS((ROW(T17)-1) - MATCH(T17,$B$2:$B$17,0))</f>
        <v/>
      </c>
      <c r="AO17" s="9">
        <f>ABS((ROW(U17)-1) - MATCH(U17,$B$2:$B$17,0))</f>
        <v/>
      </c>
      <c r="AP17" s="9">
        <f>ABS((ROW(V17)-1) - MATCH(V17,$B$2:$B$17,0))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L18" s="11">
        <f>SUM(AL2:AL17)</f>
        <v/>
      </c>
      <c r="M18" s="11">
        <f>SUM(AM2:AM17)</f>
        <v/>
      </c>
      <c r="N18" s="11">
        <f>SUM(AN2:AN17)</f>
        <v/>
      </c>
      <c r="O18" s="12">
        <f>SUM(AO2:AO17)</f>
        <v/>
      </c>
      <c r="P18" s="12">
        <f>SUM(AP2:AP17)</f>
        <v/>
      </c>
      <c r="Q18" s="4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jlijwxyeyIV4P3rQHPlN5w==" formatRows="1" sort="1" spinCount="100000" hashValue="jMWuBF6oK0m5xbO/UPa5jlSjL6UMVmCDtxLdYeg9vJgT79Sq4TM78oJdnzGPflAtCxUGCvuU0sO0T78xRzsP1Q=="/>
  <conditionalFormatting sqref="L2:P17">
    <cfRule type="colorScale" priority="1">
      <colorScale>
        <cfvo type="min"/>
        <cfvo type="percentile" val="50"/>
        <cfvo type="num" val="15"/>
        <color rgb="FF63BE7B"/>
        <color rgb="FFFFEB84"/>
        <color rgb="FFF8696B"/>
      </colorScale>
    </cfRule>
  </conditionalFormatting>
  <conditionalFormatting sqref="L18:Q18">
    <cfRule type="colorScale" priority="9">
      <colorScale>
        <cfvo type="num" val="0"/>
        <cfvo type="num" val="135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2025-06-16T23:09:47Z</dcterms:created>
  <dcterms:modified xsi:type="dcterms:W3CDTF">2026-04-01T12:13:04Z</dcterms:modified>
  <cp:lastModifiedBy>Peter Karlsson</cp:lastModifiedBy>
</cp:coreProperties>
</file>